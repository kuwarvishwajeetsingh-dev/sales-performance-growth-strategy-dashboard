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shwajeet Singh\Sales Dashboard\"/>
    </mc:Choice>
  </mc:AlternateContent>
  <xr:revisionPtr revIDLastSave="0" documentId="8_{78DFF803-BEB9-4FCC-8A77-BBD39A1AECC5}" xr6:coauthVersionLast="47" xr6:coauthVersionMax="47" xr10:uidLastSave="{00000000-0000-0000-0000-000000000000}"/>
  <bookViews>
    <workbookView xWindow="-108" yWindow="-108" windowWidth="23256" windowHeight="12576" activeTab="4" xr2:uid="{4846393F-4920-4914-A227-520BD86D5B10}"/>
  </bookViews>
  <sheets>
    <sheet name="Sheet1" sheetId="3" r:id="rId1"/>
    <sheet name="Sheet2" sheetId="4" r:id="rId2"/>
    <sheet name="Sheet3" sheetId="5" r:id="rId3"/>
    <sheet name="Raw Data" sheetId="1" r:id="rId4"/>
    <sheet name="Dashboard" sheetId="2" r:id="rId5"/>
  </sheets>
  <calcPr calcId="191029"/>
  <pivotCaches>
    <pivotCache cacheId="7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  <c r="B1" i="2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<sst xmlns="http://schemas.openxmlformats.org/spreadsheetml/2006/main" count="61" uniqueCount="39">
  <si>
    <t>Cateogory</t>
  </si>
  <si>
    <r>
      <t xml:space="preserve">    </t>
    </r>
    <r>
      <rPr>
        <b/>
        <sz val="11"/>
        <color theme="1"/>
        <rFont val="Calibri"/>
        <family val="2"/>
        <scheme val="minor"/>
      </rPr>
      <t>Cost</t>
    </r>
  </si>
  <si>
    <r>
      <t xml:space="preserve">    </t>
    </r>
    <r>
      <rPr>
        <b/>
        <sz val="11"/>
        <color theme="1"/>
        <rFont val="Calibri"/>
        <family val="2"/>
        <scheme val="minor"/>
      </rPr>
      <t>sales</t>
    </r>
  </si>
  <si>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</t>
    </r>
  </si>
  <si>
    <t xml:space="preserve">   Discount </t>
  </si>
  <si>
    <t>Delhi</t>
  </si>
  <si>
    <t>Mumbai</t>
  </si>
  <si>
    <t>Banglore</t>
  </si>
  <si>
    <t>Lucknow</t>
  </si>
  <si>
    <t>Jaipur</t>
  </si>
  <si>
    <t>Pune</t>
  </si>
  <si>
    <t>Furniture</t>
  </si>
  <si>
    <t>Off. Sup</t>
  </si>
  <si>
    <t>Total Revenue</t>
  </si>
  <si>
    <t>Technology</t>
  </si>
  <si>
    <t xml:space="preserve">        Sement</t>
  </si>
  <si>
    <t>Profit</t>
  </si>
  <si>
    <t>Corporate</t>
  </si>
  <si>
    <t>Consumer</t>
  </si>
  <si>
    <t>Home Office</t>
  </si>
  <si>
    <t>Total Profit</t>
  </si>
  <si>
    <t>Total Cost</t>
  </si>
  <si>
    <t>Total Margin</t>
  </si>
  <si>
    <t>Row Labels</t>
  </si>
  <si>
    <t>Grand Total</t>
  </si>
  <si>
    <t>Sum of     sales</t>
  </si>
  <si>
    <t>Sum of Profit</t>
  </si>
  <si>
    <t>Top Performing Category</t>
  </si>
  <si>
    <t>Product Insight</t>
  </si>
  <si>
    <t xml:space="preserve">                           Technology category generates the highest profit contribution</t>
  </si>
  <si>
    <t>Top Performing City</t>
  </si>
  <si>
    <r>
      <t xml:space="preserve">                                                                                                                       </t>
    </r>
    <r>
      <rPr>
        <i/>
        <sz val="11"/>
        <color theme="1"/>
        <rFont val="Calibri"/>
        <family val="2"/>
        <scheme val="minor"/>
      </rPr>
      <t>Technology</t>
    </r>
  </si>
  <si>
    <t xml:space="preserve">                                                                                                                           Bangalore</t>
  </si>
  <si>
    <t>City Insight</t>
  </si>
  <si>
    <t xml:space="preserve">                Bangalore generates the highest profit contribution among all cities.</t>
  </si>
  <si>
    <t>Pricing Risk Identified</t>
  </si>
  <si>
    <t xml:space="preserve">                                  Lucknow shows lowest profit with highest discount (30%).</t>
  </si>
  <si>
    <t>Strategic Recommendation</t>
  </si>
  <si>
    <t xml:space="preserve">                               Limit discount levels to 15–20% to prevent margin erosion.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</si>
</sst>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9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1.819823611113" createdVersion="8" refreshedVersion="8" minRefreshableVersion="3" recordCount="6" xr:uid="{7CD36E92-0F92-4FC6-B403-C3C28267D815}">
  <cacheSource type="worksheet">
    <worksheetSource ref="A1:G7" sheet="Raw Data"/>
  </cacheSource>
  <cacheFields count="7">
    <cacheField name="City " numFmtId="0">
      <sharedItems count="6">
        <s v="Delhi"/>
        <s v="Mumbai"/>
        <s v="Banglore"/>
        <s v="Lucknow"/>
        <s v="Jaipur"/>
        <s v="Pune"/>
      </sharedItems>
    </cacheField>
    <cacheField name="Cateogory" numFmtId="0">
      <sharedItems count="3">
        <s v="Technology"/>
        <s v="Furniture"/>
        <s v="Off. Sup"/>
      </sharedItems>
    </cacheField>
    <cacheField name="    sales" numFmtId="0">
      <sharedItems containsSemiMixedTypes="0" containsString="0" containsNumber="1" containsInteger="1" minValue="30000" maxValue="60000"/>
    </cacheField>
    <cacheField name="    Cost" numFmtId="0">
      <sharedItems containsSemiMixedTypes="0" containsString="0" containsNumber="1" containsInteger="1" minValue="27000" maxValue="42000"/>
    </cacheField>
    <cacheField name="   Discount " numFmtId="9">
      <sharedItems containsSemiMixedTypes="0" containsString="0" containsNumber="1" minValue="0.05" maxValue="0.3" count="6">
        <n v="0.1"/>
        <n v="0.25"/>
        <n v="0.15"/>
        <n v="0.3"/>
        <n v="0.2"/>
        <n v="0.05"/>
      </sharedItems>
    </cacheField>
    <cacheField name="        Sement" numFmtId="0">
      <sharedItems/>
    </cacheField>
    <cacheField name="Profit" numFmtId="0">
      <sharedItems containsSemiMixedTypes="0" containsString="0" containsNumber="1" containsInteger="1" minValue="30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50000"/>
    <n v="35000"/>
    <x v="0"/>
    <s v="Corporate"/>
    <n v="15000"/>
  </r>
  <r>
    <x v="1"/>
    <x v="1"/>
    <n v="40000"/>
    <n v="32000"/>
    <x v="1"/>
    <s v="Consumer"/>
    <n v="8000"/>
  </r>
  <r>
    <x v="2"/>
    <x v="0"/>
    <n v="60000"/>
    <n v="42000"/>
    <x v="2"/>
    <s v="Corporate"/>
    <n v="18000"/>
  </r>
  <r>
    <x v="3"/>
    <x v="2"/>
    <n v="30000"/>
    <n v="27000"/>
    <x v="3"/>
    <s v="Consumer"/>
    <n v="3000"/>
  </r>
  <r>
    <x v="4"/>
    <x v="1"/>
    <n v="35000"/>
    <n v="28000"/>
    <x v="4"/>
    <s v="Home Office"/>
    <n v="7000"/>
  </r>
  <r>
    <x v="5"/>
    <x v="0"/>
    <n v="45000"/>
    <n v="30000"/>
    <x v="5"/>
    <s v="Corporate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0F179-117B-4CF8-A305-8FF01FAD9AB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7">
    <pivotField showAll="0"/>
    <pivotField axis="axisRow" showAll="0" sortType="ascending">
      <items count="4">
        <item x="1"/>
        <item x="2"/>
        <item x="0"/>
        <item t="default"/>
      </items>
    </pivotField>
    <pivotField dataField="1" showAll="0"/>
    <pivotField showAll="0"/>
    <pivotField numFmtId="9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   sales" fld="2" baseField="0" baseItem="0"/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E7554-4EF4-4D26-A535-759C0FD3919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7">
    <pivotField axis="axisRow" showAll="0">
      <items count="7">
        <item x="2"/>
        <item x="0"/>
        <item x="4"/>
        <item x="3"/>
        <item x="1"/>
        <item x="5"/>
        <item t="default"/>
      </items>
    </pivotField>
    <pivotField showAll="0"/>
    <pivotField dataField="1" showAll="0"/>
    <pivotField showAll="0"/>
    <pivotField numFmtId="9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   sales" fld="2" baseField="0" baseItem="0"/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F01CE-A7AE-4319-9865-4EA3B88FABD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showAll="0"/>
    <pivotField showAll="0"/>
    <pivotField showAll="0"/>
    <pivotField showAll="0"/>
    <pivotField axis="axisRow" numFmtId="9" showAll="0">
      <items count="7">
        <item x="5"/>
        <item x="0"/>
        <item x="2"/>
        <item x="4"/>
        <item x="1"/>
        <item x="3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52AB-5497-4194-953A-EBE24201877B}">
  <dimension ref="A3:C7"/>
  <sheetViews>
    <sheetView workbookViewId="0">
      <selection activeCell="C14" sqref="C14"/>
    </sheetView>
  </sheetViews>
  <sheetFormatPr defaultRowHeight="14.4"/>
  <cols>
    <col min="1" max="1" width="12.5546875" bestFit="1" customWidth="1"/>
    <col min="2" max="2" width="13.33203125" bestFit="1" customWidth="1"/>
    <col min="3" max="3" width="12.109375" bestFit="1" customWidth="1"/>
  </cols>
  <sheetData>
    <row r="3" spans="1:3">
      <c r="A3" s="4" t="s">
        <v>23</v>
      </c>
      <c r="B3" t="s">
        <v>25</v>
      </c>
      <c r="C3" t="s">
        <v>26</v>
      </c>
    </row>
    <row r="4" spans="1:3">
      <c r="A4" s="5" t="s">
        <v>11</v>
      </c>
      <c r="B4" s="6">
        <v>75000</v>
      </c>
      <c r="C4" s="6">
        <v>15000</v>
      </c>
    </row>
    <row r="5" spans="1:3">
      <c r="A5" s="5" t="s">
        <v>12</v>
      </c>
      <c r="B5" s="6">
        <v>30000</v>
      </c>
      <c r="C5" s="6">
        <v>3000</v>
      </c>
    </row>
    <row r="6" spans="1:3">
      <c r="A6" s="5" t="s">
        <v>14</v>
      </c>
      <c r="B6" s="6">
        <v>155000</v>
      </c>
      <c r="C6" s="6">
        <v>48000</v>
      </c>
    </row>
    <row r="7" spans="1:3">
      <c r="A7" s="5" t="s">
        <v>24</v>
      </c>
      <c r="B7" s="6">
        <v>260000</v>
      </c>
      <c r="C7" s="6">
        <v>66000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715B-85F9-4554-A83B-AE782A90E184}">
  <dimension ref="A3:C10"/>
  <sheetViews>
    <sheetView workbookViewId="0">
      <selection activeCell="D5" sqref="D5"/>
    </sheetView>
  </sheetViews>
  <sheetFormatPr defaultRowHeight="14.4"/>
  <cols>
    <col min="1" max="1" width="12.5546875" bestFit="1" customWidth="1"/>
    <col min="2" max="2" width="13.33203125" bestFit="1" customWidth="1"/>
    <col min="3" max="3" width="12.109375" bestFit="1" customWidth="1"/>
  </cols>
  <sheetData>
    <row r="3" spans="1:3">
      <c r="A3" s="4" t="s">
        <v>23</v>
      </c>
      <c r="B3" t="s">
        <v>25</v>
      </c>
      <c r="C3" t="s">
        <v>26</v>
      </c>
    </row>
    <row r="4" spans="1:3">
      <c r="A4" s="5" t="s">
        <v>7</v>
      </c>
      <c r="B4" s="6">
        <v>60000</v>
      </c>
      <c r="C4" s="6">
        <v>18000</v>
      </c>
    </row>
    <row r="5" spans="1:3">
      <c r="A5" s="5" t="s">
        <v>5</v>
      </c>
      <c r="B5" s="6">
        <v>50000</v>
      </c>
      <c r="C5" s="6">
        <v>15000</v>
      </c>
    </row>
    <row r="6" spans="1:3">
      <c r="A6" s="5" t="s">
        <v>9</v>
      </c>
      <c r="B6" s="6">
        <v>35000</v>
      </c>
      <c r="C6" s="6">
        <v>7000</v>
      </c>
    </row>
    <row r="7" spans="1:3">
      <c r="A7" s="5" t="s">
        <v>8</v>
      </c>
      <c r="B7" s="6">
        <v>30000</v>
      </c>
      <c r="C7" s="6">
        <v>3000</v>
      </c>
    </row>
    <row r="8" spans="1:3">
      <c r="A8" s="5" t="s">
        <v>6</v>
      </c>
      <c r="B8" s="6">
        <v>40000</v>
      </c>
      <c r="C8" s="6">
        <v>8000</v>
      </c>
    </row>
    <row r="9" spans="1:3">
      <c r="A9" s="5" t="s">
        <v>10</v>
      </c>
      <c r="B9" s="6">
        <v>45000</v>
      </c>
      <c r="C9" s="6">
        <v>15000</v>
      </c>
    </row>
    <row r="10" spans="1:3">
      <c r="A10" s="5" t="s">
        <v>24</v>
      </c>
      <c r="B10" s="6">
        <v>260000</v>
      </c>
      <c r="C10" s="6">
        <v>66000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A8CC-B460-4D21-83AD-6AA3B88BB901}">
  <dimension ref="A3:B10"/>
  <sheetViews>
    <sheetView workbookViewId="0">
      <selection activeCell="D13" sqref="D13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4" t="s">
        <v>23</v>
      </c>
      <c r="B3" t="s">
        <v>26</v>
      </c>
    </row>
    <row r="4" spans="1:2">
      <c r="A4" s="9">
        <v>0.05</v>
      </c>
      <c r="B4" s="6">
        <v>15000</v>
      </c>
    </row>
    <row r="5" spans="1:2">
      <c r="A5" s="9">
        <v>0.1</v>
      </c>
      <c r="B5" s="6">
        <v>15000</v>
      </c>
    </row>
    <row r="6" spans="1:2">
      <c r="A6" s="9">
        <v>0.15</v>
      </c>
      <c r="B6" s="6">
        <v>18000</v>
      </c>
    </row>
    <row r="7" spans="1:2">
      <c r="A7" s="9">
        <v>0.2</v>
      </c>
      <c r="B7" s="6">
        <v>7000</v>
      </c>
    </row>
    <row r="8" spans="1:2">
      <c r="A8" s="9">
        <v>0.25</v>
      </c>
      <c r="B8" s="6">
        <v>8000</v>
      </c>
    </row>
    <row r="9" spans="1:2">
      <c r="A9" s="9">
        <v>0.3</v>
      </c>
      <c r="B9" s="6">
        <v>3000</v>
      </c>
    </row>
    <row r="10" spans="1:2">
      <c r="A10" s="9" t="s">
        <v>24</v>
      </c>
      <c r="B10" s="6">
        <v>66000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0CED-C5B8-4CCD-82F9-0EBAEE269BE0}">
  <dimension ref="A1:G7"/>
  <sheetViews>
    <sheetView workbookViewId="0">
      <selection activeCell="A5" sqref="A1:G7"/>
    </sheetView>
  </sheetViews>
  <sheetFormatPr defaultRowHeight="14.4"/>
  <cols>
    <col min="1" max="1" width="19.77734375" customWidth="1"/>
    <col min="2" max="2" width="17.5546875" customWidth="1"/>
    <col min="3" max="3" width="17.44140625" customWidth="1"/>
    <col min="4" max="4" width="16.6640625" customWidth="1"/>
    <col min="5" max="5" width="16.77734375" customWidth="1"/>
    <col min="6" max="6" width="19.33203125" customWidth="1"/>
    <col min="7" max="7" width="34.109375" customWidth="1"/>
  </cols>
  <sheetData>
    <row r="1" spans="1:7">
      <c r="A1" t="s">
        <v>3</v>
      </c>
      <c r="B1" s="1" t="s">
        <v>0</v>
      </c>
      <c r="C1" t="s">
        <v>2</v>
      </c>
      <c r="D1" t="s">
        <v>1</v>
      </c>
      <c r="E1" s="1" t="s">
        <v>4</v>
      </c>
      <c r="F1" s="1" t="s">
        <v>15</v>
      </c>
      <c r="G1" s="1" t="s">
        <v>16</v>
      </c>
    </row>
    <row r="2" spans="1:7">
      <c r="A2" t="s">
        <v>5</v>
      </c>
      <c r="B2" t="s">
        <v>14</v>
      </c>
      <c r="C2">
        <v>50000</v>
      </c>
      <c r="D2">
        <v>35000</v>
      </c>
      <c r="E2" s="2">
        <v>0.1</v>
      </c>
      <c r="F2" t="s">
        <v>17</v>
      </c>
      <c r="G2">
        <f>(C2-D2)</f>
        <v>15000</v>
      </c>
    </row>
    <row r="3" spans="1:7">
      <c r="A3" t="s">
        <v>6</v>
      </c>
      <c r="B3" t="s">
        <v>11</v>
      </c>
      <c r="C3">
        <v>40000</v>
      </c>
      <c r="D3">
        <v>32000</v>
      </c>
      <c r="E3" s="2">
        <v>0.25</v>
      </c>
      <c r="F3" t="s">
        <v>18</v>
      </c>
      <c r="G3">
        <f t="shared" ref="G3:G7" si="0">(C3-D3)</f>
        <v>8000</v>
      </c>
    </row>
    <row r="4" spans="1:7">
      <c r="A4" t="s">
        <v>7</v>
      </c>
      <c r="B4" t="s">
        <v>14</v>
      </c>
      <c r="C4">
        <v>60000</v>
      </c>
      <c r="D4">
        <v>42000</v>
      </c>
      <c r="E4" s="2">
        <v>0.15</v>
      </c>
      <c r="F4" t="s">
        <v>17</v>
      </c>
      <c r="G4">
        <f t="shared" si="0"/>
        <v>18000</v>
      </c>
    </row>
    <row r="5" spans="1:7">
      <c r="A5" t="s">
        <v>8</v>
      </c>
      <c r="B5" t="s">
        <v>12</v>
      </c>
      <c r="C5">
        <v>30000</v>
      </c>
      <c r="D5">
        <v>27000</v>
      </c>
      <c r="E5" s="2">
        <v>0.3</v>
      </c>
      <c r="F5" t="s">
        <v>18</v>
      </c>
      <c r="G5">
        <f t="shared" si="0"/>
        <v>3000</v>
      </c>
    </row>
    <row r="6" spans="1:7">
      <c r="A6" t="s">
        <v>9</v>
      </c>
      <c r="B6" t="s">
        <v>11</v>
      </c>
      <c r="C6">
        <v>35000</v>
      </c>
      <c r="D6">
        <v>28000</v>
      </c>
      <c r="E6" s="2">
        <v>0.2</v>
      </c>
      <c r="F6" t="s">
        <v>19</v>
      </c>
      <c r="G6">
        <f t="shared" si="0"/>
        <v>7000</v>
      </c>
    </row>
    <row r="7" spans="1:7">
      <c r="A7" t="s">
        <v>10</v>
      </c>
      <c r="B7" t="s">
        <v>14</v>
      </c>
      <c r="C7">
        <v>45000</v>
      </c>
      <c r="D7">
        <v>30000</v>
      </c>
      <c r="E7" s="2">
        <v>0.05</v>
      </c>
      <c r="F7" t="s">
        <v>17</v>
      </c>
      <c r="G7">
        <f t="shared" si="0"/>
        <v>15000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7903-4A65-46F4-BC92-4A72C4C7AAA1}">
  <dimension ref="A1:B10"/>
  <sheetViews>
    <sheetView tabSelected="1" workbookViewId="0">
      <selection activeCell="B10" sqref="B10"/>
    </sheetView>
  </sheetViews>
  <sheetFormatPr defaultRowHeight="14.4"/>
  <cols>
    <col min="1" max="1" width="36" customWidth="1"/>
    <col min="2" max="2" width="63.6640625" customWidth="1"/>
  </cols>
  <sheetData>
    <row r="1" spans="1:2">
      <c r="A1" s="1" t="s">
        <v>13</v>
      </c>
      <c r="B1">
        <f>SUM('Raw Data'!C2:C7)</f>
        <v>260000</v>
      </c>
    </row>
    <row r="2" spans="1:2">
      <c r="A2" s="1" t="s">
        <v>20</v>
      </c>
      <c r="B2">
        <f>SUM('Raw Data'!G2:G7)</f>
        <v>66000</v>
      </c>
    </row>
    <row r="3" spans="1:2">
      <c r="A3" s="1" t="s">
        <v>21</v>
      </c>
      <c r="B3">
        <f>SUM('Raw Data'!D2:D7)</f>
        <v>194000</v>
      </c>
    </row>
    <row r="4" spans="1:2">
      <c r="A4" s="1" t="s">
        <v>22</v>
      </c>
      <c r="B4" s="3">
        <f>B2/B1</f>
        <v>0.25384615384615383</v>
      </c>
    </row>
    <row r="5" spans="1:2">
      <c r="A5" s="7" t="s">
        <v>27</v>
      </c>
      <c r="B5" t="s">
        <v>31</v>
      </c>
    </row>
    <row r="6" spans="1:2">
      <c r="A6" s="1" t="s">
        <v>28</v>
      </c>
      <c r="B6" s="8" t="s">
        <v>29</v>
      </c>
    </row>
    <row r="7" spans="1:2">
      <c r="A7" s="1" t="s">
        <v>30</v>
      </c>
      <c r="B7" s="8" t="s">
        <v>32</v>
      </c>
    </row>
    <row r="8" spans="1:2">
      <c r="A8" s="1" t="s">
        <v>33</v>
      </c>
      <c r="B8" s="8" t="s">
        <v>34</v>
      </c>
    </row>
    <row r="9" spans="1:2">
      <c r="A9" s="1" t="s">
        <v>35</v>
      </c>
      <c r="B9" s="8" t="s">
        <v>36</v>
      </c>
    </row>
    <row r="10" spans="1:2">
      <c r="A10" s="1" t="s">
        <v>37</v>
      </c>
      <c r="B10" s="8" t="s">
        <v>38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Kunwar Vishwajeet Singh</dc:creator>
  <cp:lastModifiedBy>Kunwar Vishwajeet Singh</cp:lastModifiedBy>
  <dcterms:created xsi:type="dcterms:W3CDTF">2026-02-28T11:10:03Z</dcterms:created>
  <dcterms:modified xsi:type="dcterms:W3CDTF">2026-02-28T16:34:03Z</dcterms:modified>
</cp:coreProperties>
</file>